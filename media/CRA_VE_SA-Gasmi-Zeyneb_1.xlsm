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7A2D7E96-6E34-419A-AE5F-296B3A7E797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207586FF-598A-4A2A-8C21-98429509AAD4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Feuil1" sheetId="1" r:id="rId1"/>
    <sheet name="Feuil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5" i="1" l="1"/>
  <c r="F45" i="1"/>
  <c r="D45" i="1"/>
  <c r="C45" i="1"/>
  <c r="A14" i="1"/>
  <c r="I14" i="1" s="1"/>
  <c r="A15" i="1" l="1"/>
  <c r="I15" i="1" l="1"/>
  <c r="A16" i="1"/>
  <c r="A17" i="1" l="1"/>
  <c r="I16" i="1"/>
  <c r="A18" i="1" l="1"/>
  <c r="I17" i="1"/>
  <c r="A19" i="1" l="1"/>
  <c r="I18" i="1"/>
  <c r="A20" i="1" l="1"/>
  <c r="I19" i="1"/>
  <c r="A21" i="1" l="1"/>
  <c r="I20" i="1"/>
  <c r="A22" i="1" l="1"/>
  <c r="I21" i="1"/>
  <c r="A23" i="1" l="1"/>
  <c r="I22" i="1"/>
  <c r="A24" i="1" l="1"/>
  <c r="I23" i="1"/>
  <c r="A25" i="1" l="1"/>
  <c r="I24" i="1"/>
  <c r="A26" i="1" l="1"/>
  <c r="I25" i="1"/>
  <c r="A27" i="1" l="1"/>
  <c r="I26" i="1"/>
  <c r="A28" i="1" l="1"/>
  <c r="I27" i="1"/>
  <c r="A29" i="1" l="1"/>
  <c r="I28" i="1"/>
  <c r="A30" i="1" l="1"/>
  <c r="I29" i="1"/>
  <c r="A31" i="1" l="1"/>
  <c r="I30" i="1"/>
  <c r="A32" i="1" l="1"/>
  <c r="I31" i="1"/>
  <c r="A33" i="1" l="1"/>
  <c r="I32" i="1"/>
  <c r="A34" i="1" l="1"/>
  <c r="I33" i="1"/>
  <c r="A35" i="1" l="1"/>
  <c r="I34" i="1"/>
  <c r="A36" i="1" l="1"/>
  <c r="I35" i="1"/>
  <c r="A37" i="1" l="1"/>
  <c r="I36" i="1"/>
  <c r="A38" i="1" l="1"/>
  <c r="I37" i="1"/>
  <c r="A39" i="1" l="1"/>
  <c r="I38" i="1"/>
  <c r="A40" i="1" l="1"/>
  <c r="I39" i="1"/>
  <c r="A41" i="1" l="1"/>
  <c r="I40" i="1"/>
  <c r="A42" i="1" l="1"/>
  <c r="I41" i="1"/>
  <c r="A43" i="1" l="1"/>
  <c r="I42" i="1"/>
  <c r="A44" i="1" l="1"/>
  <c r="I44" i="1" s="1"/>
  <c r="I43" i="1"/>
</calcChain>
</file>

<file path=xl/sharedStrings.xml><?xml version="1.0" encoding="utf-8"?>
<sst xmlns="http://schemas.openxmlformats.org/spreadsheetml/2006/main" count="101" uniqueCount="39">
  <si>
    <t xml:space="preserve">WISSAL SYSTEMS </t>
  </si>
  <si>
    <t>Compte Rendu d'activité mensuel</t>
  </si>
  <si>
    <t>Mois</t>
  </si>
  <si>
    <t>Janvier</t>
  </si>
  <si>
    <t>Fevrier</t>
  </si>
  <si>
    <t>Mars</t>
  </si>
  <si>
    <t xml:space="preserve">Avril </t>
  </si>
  <si>
    <t>Mai</t>
  </si>
  <si>
    <t>Juin</t>
  </si>
  <si>
    <t>Juillet</t>
  </si>
  <si>
    <t>Aout</t>
  </si>
  <si>
    <t>Octobre</t>
  </si>
  <si>
    <t xml:space="preserve">Novembre </t>
  </si>
  <si>
    <t xml:space="preserve">Septembre </t>
  </si>
  <si>
    <t>Decembre</t>
  </si>
  <si>
    <t xml:space="preserve">Jours </t>
  </si>
  <si>
    <t xml:space="preserve">HEURE </t>
  </si>
  <si>
    <t>P</t>
  </si>
  <si>
    <t>A</t>
  </si>
  <si>
    <t>HEURE</t>
  </si>
  <si>
    <t xml:space="preserve">REMARQUE </t>
  </si>
  <si>
    <t>Année</t>
  </si>
  <si>
    <t xml:space="preserve">ccp/rip: </t>
  </si>
  <si>
    <t xml:space="preserve">Nom et prénom: </t>
  </si>
  <si>
    <t>poste occupé:</t>
  </si>
  <si>
    <t>P=</t>
  </si>
  <si>
    <t>1=présent</t>
  </si>
  <si>
    <t>0=absent</t>
  </si>
  <si>
    <t>A=</t>
  </si>
  <si>
    <t>0=présent</t>
  </si>
  <si>
    <t>1=absent</t>
  </si>
  <si>
    <t>La zone orange est  pour les weekend veillez s'il vous plait laissez vide</t>
  </si>
  <si>
    <t>Remarque 2</t>
  </si>
  <si>
    <t>Remarque 1</t>
  </si>
  <si>
    <t>08H:00-12H:00</t>
  </si>
  <si>
    <t>13H:00-17H:00</t>
  </si>
  <si>
    <t>Gasmi Zeyneb</t>
  </si>
  <si>
    <t>Business Analyst</t>
  </si>
  <si>
    <t>22656986 cle 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</si>
</sst>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/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4" fontId="1" fillId="3" borderId="8" xfId="0" applyNumberFormat="1" applyFont="1" applyFill="1" applyBorder="1" applyAlignment="1">
      <alignment horizontal="center"/>
    </xf>
    <xf numFmtId="14" fontId="1" fillId="3" borderId="9" xfId="0" applyNumberFormat="1" applyFont="1" applyFill="1" applyBorder="1" applyAlignment="1">
      <alignment horizontal="center"/>
    </xf>
    <xf numFmtId="14" fontId="1" fillId="3" borderId="10" xfId="0" applyNumberFormat="1" applyFont="1" applyFill="1" applyBorder="1" applyAlignment="1">
      <alignment horizontal="center"/>
    </xf>
    <xf numFmtId="0" fontId="1" fillId="0" borderId="0" xfId="0" applyFont="1"/>
    <xf numFmtId="0" fontId="4" fillId="0" borderId="0" xfId="0" applyFont="1"/>
    <xf numFmtId="0" fontId="5" fillId="0" borderId="0" xfId="0" applyFont="1"/>
    <xf numFmtId="0" fontId="0" fillId="0" borderId="0" xfId="0" applyAlignment="1"/>
    <xf numFmtId="0" fontId="0" fillId="0" borderId="11" xfId="0" applyBorder="1" applyAlignment="1">
      <alignment horizontal="center"/>
    </xf>
    <xf numFmtId="0" fontId="0" fillId="4" borderId="1" xfId="0" applyFill="1" applyBorder="1"/>
    <xf numFmtId="0" fontId="6" fillId="2" borderId="1" xfId="0" applyFont="1" applyFill="1" applyBorder="1"/>
    <xf numFmtId="0" fontId="6" fillId="0" borderId="1" xfId="0" applyFont="1" applyBorder="1" applyAlignment="1">
      <alignment horizontal="center"/>
    </xf>
    <xf numFmtId="0" fontId="6" fillId="0" borderId="0" xfId="0" applyFont="1"/>
    <xf numFmtId="0" fontId="6" fillId="0" borderId="1" xfId="0" applyFont="1" applyBorder="1"/>
    <xf numFmtId="0" fontId="6" fillId="0" borderId="12" xfId="0" applyFont="1" applyBorder="1" applyAlignment="1"/>
    <xf numFmtId="0" fontId="6" fillId="0" borderId="13" xfId="0" applyFont="1" applyBorder="1" applyAlignment="1"/>
    <xf numFmtId="0" fontId="0" fillId="0" borderId="13" xfId="0" applyBorder="1"/>
    <xf numFmtId="0" fontId="0" fillId="0" borderId="7" xfId="0" applyBorder="1"/>
    <xf numFmtId="0" fontId="0" fillId="0" borderId="0" xfId="0" applyAlignment="1">
      <alignment horizontal="center"/>
    </xf>
  </cellXfs>
  <cellStyles count="1">
    <cellStyle name="Normal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B9" fmlaRange="Feuil2!$A$1:$A$12" noThreeD="1" sel="5" val="0"/>
</file>

<file path=xl/ctrlProps/ctrlProp2.xml><?xml version="1.0" encoding="utf-8"?>
<formControlPr xmlns="http://schemas.microsoft.com/office/spreadsheetml/2009/9/main" objectType="Drop" dropStyle="combo" dx="22" fmlaLink="B8" fmlaRange="Feuil2!$B$1:$B$11" noThreeD="1" sel="3" val="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9525</xdr:rowOff>
        </xdr:from>
        <xdr:to>
          <xdr:col>2</xdr:col>
          <xdr:colOff>9525</xdr:colOff>
          <xdr:row>9</xdr:row>
          <xdr:rowOff>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0</xdr:rowOff>
        </xdr:from>
        <xdr:to>
          <xdr:col>2</xdr:col>
          <xdr:colOff>19050</xdr:colOff>
          <xdr:row>8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57151</xdr:colOff>
      <xdr:row>0</xdr:row>
      <xdr:rowOff>95250</xdr:rowOff>
    </xdr:from>
    <xdr:to>
      <xdr:col>1</xdr:col>
      <xdr:colOff>1209676</xdr:colOff>
      <xdr:row>3</xdr:row>
      <xdr:rowOff>119599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1" y="95250"/>
          <a:ext cx="2590800" cy="8149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51"/>
  <sheetViews>
    <sheetView tabSelected="1" workbookViewId="0">
      <selection activeCell="G1" sqref="G1"/>
    </sheetView>
  </sheetViews>
  <sheetFormatPr baseColWidth="10" defaultRowHeight="15" x14ac:dyDescent="0.25"/>
  <cols>
    <col min="1" max="1" width="21.5703125" customWidth="1"/>
    <col min="2" max="2" width="18.28515625" customWidth="1"/>
    <col min="5" max="5" width="18.85546875" customWidth="1"/>
    <col min="8" max="8" width="21" customWidth="1"/>
    <col min="9" max="9" width="0.28515625" customWidth="1"/>
  </cols>
  <sheetData>
    <row r="1" spans="1:9" ht="28.5" x14ac:dyDescent="0.45">
      <c r="A1" s="1" t="s">
        <v>0</v>
      </c>
    </row>
    <row r="3" spans="1:9" ht="18.75" x14ac:dyDescent="0.3">
      <c r="B3" s="15"/>
      <c r="C3" s="15"/>
      <c r="E3" s="14" t="s">
        <v>1</v>
      </c>
    </row>
    <row r="4" spans="1:9" x14ac:dyDescent="0.25">
      <c r="B4" s="15"/>
      <c r="C4" s="15"/>
    </row>
    <row r="5" spans="1:9" x14ac:dyDescent="0.25">
      <c r="A5" s="13" t="s">
        <v>23</v>
      </c>
      <c r="B5" s="26" t="s">
        <v>36</v>
      </c>
      <c r="C5" s="26"/>
    </row>
    <row r="6" spans="1:9" x14ac:dyDescent="0.25">
      <c r="A6" s="13" t="s">
        <v>24</v>
      </c>
      <c r="B6" s="26" t="s">
        <v>37</v>
      </c>
      <c r="C6" s="26"/>
    </row>
    <row r="7" spans="1:9" x14ac:dyDescent="0.25">
      <c r="A7" s="13" t="s">
        <v>22</v>
      </c>
      <c r="B7" s="26" t="s">
        <v>38</v>
      </c>
      <c r="C7" s="26"/>
    </row>
    <row r="8" spans="1:9" ht="21" customHeight="1" x14ac:dyDescent="0.25">
      <c r="A8" s="12" t="s">
        <v>21</v>
      </c>
      <c r="B8">
        <v>3</v>
      </c>
    </row>
    <row r="9" spans="1:9" ht="22.5" customHeight="1" x14ac:dyDescent="0.25">
      <c r="A9" s="12" t="s">
        <v>2</v>
      </c>
      <c r="B9">
        <v>5</v>
      </c>
    </row>
    <row r="12" spans="1:9" ht="15.75" thickBot="1" x14ac:dyDescent="0.3"/>
    <row r="13" spans="1:9" ht="15.75" thickBot="1" x14ac:dyDescent="0.3">
      <c r="A13" s="8" t="s">
        <v>15</v>
      </c>
      <c r="B13" s="6" t="s">
        <v>16</v>
      </c>
      <c r="C13" s="2" t="s">
        <v>17</v>
      </c>
      <c r="D13" s="2" t="s">
        <v>18</v>
      </c>
      <c r="E13" s="2" t="s">
        <v>19</v>
      </c>
      <c r="F13" s="2" t="s">
        <v>17</v>
      </c>
      <c r="G13" s="2" t="s">
        <v>18</v>
      </c>
      <c r="H13" s="3" t="s">
        <v>20</v>
      </c>
    </row>
    <row r="14" spans="1:9" x14ac:dyDescent="0.25">
      <c r="A14" s="9">
        <f>DATE(B8+2018,B9,1)</f>
        <v>44317</v>
      </c>
      <c r="B14" s="7" t="s">
        <v>34</v>
      </c>
      <c r="C14" s="4"/>
      <c r="D14" s="4"/>
      <c r="E14" s="7" t="s">
        <v>35</v>
      </c>
      <c r="F14" s="4"/>
      <c r="G14" s="4"/>
      <c r="H14" s="4"/>
      <c r="I14">
        <f>WEEKDAY(A14)</f>
        <v>7</v>
      </c>
    </row>
    <row r="15" spans="1:9" x14ac:dyDescent="0.25">
      <c r="A15" s="10">
        <f>A14+1</f>
        <v>44318</v>
      </c>
      <c r="B15" s="7" t="s">
        <v>34</v>
      </c>
      <c r="C15" s="5">
        <v>1</v>
      </c>
      <c r="D15" s="5">
        <v>0</v>
      </c>
      <c r="E15" s="7" t="s">
        <v>35</v>
      </c>
      <c r="F15" s="5">
        <v>0</v>
      </c>
      <c r="G15" s="5">
        <v>1</v>
      </c>
      <c r="H15" s="5"/>
      <c r="I15">
        <f t="shared" ref="I15:I44" si="0">WEEKDAY(A15)</f>
        <v>1</v>
      </c>
    </row>
    <row r="16" spans="1:9" x14ac:dyDescent="0.25">
      <c r="A16" s="10">
        <f t="shared" ref="A16:A44" si="1">A15+1</f>
        <v>44319</v>
      </c>
      <c r="B16" s="7" t="s">
        <v>34</v>
      </c>
      <c r="C16" s="5">
        <v>1</v>
      </c>
      <c r="D16" s="5">
        <v>0</v>
      </c>
      <c r="E16" s="7" t="s">
        <v>35</v>
      </c>
      <c r="F16" s="5">
        <v>0</v>
      </c>
      <c r="G16" s="5">
        <v>1</v>
      </c>
      <c r="H16" s="5"/>
      <c r="I16">
        <f t="shared" si="0"/>
        <v>2</v>
      </c>
    </row>
    <row r="17" spans="1:9" x14ac:dyDescent="0.25">
      <c r="A17" s="10">
        <f t="shared" si="1"/>
        <v>44320</v>
      </c>
      <c r="B17" s="7" t="s">
        <v>34</v>
      </c>
      <c r="C17" s="5">
        <v>1</v>
      </c>
      <c r="D17" s="5">
        <v>0</v>
      </c>
      <c r="E17" s="7" t="s">
        <v>35</v>
      </c>
      <c r="F17" s="5">
        <v>0</v>
      </c>
      <c r="G17" s="5">
        <v>1</v>
      </c>
      <c r="H17" s="5"/>
      <c r="I17">
        <f t="shared" si="0"/>
        <v>3</v>
      </c>
    </row>
    <row r="18" spans="1:9" x14ac:dyDescent="0.25">
      <c r="A18" s="10">
        <f t="shared" si="1"/>
        <v>44321</v>
      </c>
      <c r="B18" s="7" t="s">
        <v>34</v>
      </c>
      <c r="C18" s="5">
        <v>1</v>
      </c>
      <c r="D18" s="5">
        <v>0</v>
      </c>
      <c r="E18" s="7" t="s">
        <v>35</v>
      </c>
      <c r="F18" s="5">
        <v>0</v>
      </c>
      <c r="G18" s="5">
        <v>1</v>
      </c>
      <c r="H18" s="5"/>
      <c r="I18">
        <f t="shared" si="0"/>
        <v>4</v>
      </c>
    </row>
    <row r="19" spans="1:9" x14ac:dyDescent="0.25">
      <c r="A19" s="10">
        <f t="shared" si="1"/>
        <v>44322</v>
      </c>
      <c r="B19" s="7" t="s">
        <v>34</v>
      </c>
      <c r="C19" s="5">
        <v>1</v>
      </c>
      <c r="D19" s="5">
        <v>0</v>
      </c>
      <c r="E19" s="7" t="s">
        <v>35</v>
      </c>
      <c r="F19" s="5">
        <v>0</v>
      </c>
      <c r="G19" s="5">
        <v>1</v>
      </c>
      <c r="H19" s="5"/>
      <c r="I19">
        <f t="shared" si="0"/>
        <v>5</v>
      </c>
    </row>
    <row r="20" spans="1:9" x14ac:dyDescent="0.25">
      <c r="A20" s="10">
        <f t="shared" si="1"/>
        <v>44323</v>
      </c>
      <c r="B20" s="7" t="s">
        <v>34</v>
      </c>
      <c r="C20" s="5"/>
      <c r="D20" s="5"/>
      <c r="E20" s="7" t="s">
        <v>35</v>
      </c>
      <c r="F20" s="5"/>
      <c r="G20" s="5"/>
      <c r="H20" s="5"/>
      <c r="I20">
        <f t="shared" si="0"/>
        <v>6</v>
      </c>
    </row>
    <row r="21" spans="1:9" x14ac:dyDescent="0.25">
      <c r="A21" s="10">
        <f t="shared" si="1"/>
        <v>44324</v>
      </c>
      <c r="B21" s="7" t="s">
        <v>34</v>
      </c>
      <c r="C21" s="5"/>
      <c r="D21" s="5"/>
      <c r="E21" s="7" t="s">
        <v>35</v>
      </c>
      <c r="F21" s="5"/>
      <c r="G21" s="5"/>
      <c r="H21" s="5"/>
      <c r="I21">
        <f t="shared" si="0"/>
        <v>7</v>
      </c>
    </row>
    <row r="22" spans="1:9" x14ac:dyDescent="0.25">
      <c r="A22" s="10">
        <f t="shared" si="1"/>
        <v>44325</v>
      </c>
      <c r="B22" s="7" t="s">
        <v>34</v>
      </c>
      <c r="C22" s="5">
        <v>1</v>
      </c>
      <c r="D22" s="5">
        <v>0</v>
      </c>
      <c r="E22" s="7" t="s">
        <v>35</v>
      </c>
      <c r="F22" s="5">
        <v>0</v>
      </c>
      <c r="G22" s="5">
        <v>1</v>
      </c>
      <c r="H22" s="5"/>
      <c r="I22">
        <f t="shared" si="0"/>
        <v>1</v>
      </c>
    </row>
    <row r="23" spans="1:9" x14ac:dyDescent="0.25">
      <c r="A23" s="10">
        <f t="shared" si="1"/>
        <v>44326</v>
      </c>
      <c r="B23" s="7" t="s">
        <v>34</v>
      </c>
      <c r="C23" s="5">
        <v>1</v>
      </c>
      <c r="D23" s="5">
        <v>0</v>
      </c>
      <c r="E23" s="7" t="s">
        <v>35</v>
      </c>
      <c r="F23" s="5">
        <v>0</v>
      </c>
      <c r="G23" s="5">
        <v>1</v>
      </c>
      <c r="H23" s="5"/>
      <c r="I23">
        <f t="shared" si="0"/>
        <v>2</v>
      </c>
    </row>
    <row r="24" spans="1:9" x14ac:dyDescent="0.25">
      <c r="A24" s="10">
        <f t="shared" si="1"/>
        <v>44327</v>
      </c>
      <c r="B24" s="7" t="s">
        <v>34</v>
      </c>
      <c r="C24" s="5">
        <v>1</v>
      </c>
      <c r="D24" s="5">
        <v>0</v>
      </c>
      <c r="E24" s="7" t="s">
        <v>35</v>
      </c>
      <c r="F24" s="5">
        <v>0</v>
      </c>
      <c r="G24" s="5">
        <v>1</v>
      </c>
      <c r="H24" s="5"/>
      <c r="I24">
        <f t="shared" si="0"/>
        <v>3</v>
      </c>
    </row>
    <row r="25" spans="1:9" x14ac:dyDescent="0.25">
      <c r="A25" s="10">
        <f t="shared" si="1"/>
        <v>44328</v>
      </c>
      <c r="B25" s="7" t="s">
        <v>34</v>
      </c>
      <c r="C25" s="5">
        <v>1</v>
      </c>
      <c r="D25" s="5">
        <v>0</v>
      </c>
      <c r="E25" s="7" t="s">
        <v>35</v>
      </c>
      <c r="F25" s="5">
        <v>0</v>
      </c>
      <c r="G25" s="5">
        <v>1</v>
      </c>
      <c r="H25" s="5"/>
      <c r="I25">
        <f t="shared" si="0"/>
        <v>4</v>
      </c>
    </row>
    <row r="26" spans="1:9" x14ac:dyDescent="0.25">
      <c r="A26" s="10">
        <f t="shared" si="1"/>
        <v>44329</v>
      </c>
      <c r="B26" s="7" t="s">
        <v>34</v>
      </c>
      <c r="C26" s="5">
        <v>1</v>
      </c>
      <c r="D26" s="5">
        <v>0</v>
      </c>
      <c r="E26" s="7" t="s">
        <v>35</v>
      </c>
      <c r="F26" s="5">
        <v>0</v>
      </c>
      <c r="G26" s="5">
        <v>1</v>
      </c>
      <c r="H26" s="5"/>
      <c r="I26">
        <f t="shared" si="0"/>
        <v>5</v>
      </c>
    </row>
    <row r="27" spans="1:9" x14ac:dyDescent="0.25">
      <c r="A27" s="10">
        <f t="shared" si="1"/>
        <v>44330</v>
      </c>
      <c r="B27" s="7" t="s">
        <v>34</v>
      </c>
      <c r="C27" s="5"/>
      <c r="D27" s="5"/>
      <c r="E27" s="7" t="s">
        <v>35</v>
      </c>
      <c r="F27" s="5"/>
      <c r="G27" s="5"/>
      <c r="H27" s="5"/>
      <c r="I27">
        <f t="shared" si="0"/>
        <v>6</v>
      </c>
    </row>
    <row r="28" spans="1:9" x14ac:dyDescent="0.25">
      <c r="A28" s="10">
        <f t="shared" si="1"/>
        <v>44331</v>
      </c>
      <c r="B28" s="7" t="s">
        <v>34</v>
      </c>
      <c r="C28" s="5"/>
      <c r="D28" s="5"/>
      <c r="E28" s="7" t="s">
        <v>35</v>
      </c>
      <c r="F28" s="5"/>
      <c r="G28" s="5"/>
      <c r="H28" s="5"/>
      <c r="I28">
        <f t="shared" si="0"/>
        <v>7</v>
      </c>
    </row>
    <row r="29" spans="1:9" x14ac:dyDescent="0.25">
      <c r="A29" s="10">
        <f t="shared" si="1"/>
        <v>44332</v>
      </c>
      <c r="B29" s="7" t="s">
        <v>34</v>
      </c>
      <c r="C29" s="5">
        <v>1</v>
      </c>
      <c r="D29" s="5">
        <v>0</v>
      </c>
      <c r="E29" s="7" t="s">
        <v>35</v>
      </c>
      <c r="F29" s="5">
        <v>0</v>
      </c>
      <c r="G29" s="5">
        <v>1</v>
      </c>
      <c r="H29" s="5"/>
      <c r="I29">
        <f t="shared" si="0"/>
        <v>1</v>
      </c>
    </row>
    <row r="30" spans="1:9" x14ac:dyDescent="0.25">
      <c r="A30" s="10">
        <f t="shared" si="1"/>
        <v>44333</v>
      </c>
      <c r="B30" s="7" t="s">
        <v>34</v>
      </c>
      <c r="C30" s="5">
        <v>1</v>
      </c>
      <c r="D30" s="5">
        <v>0</v>
      </c>
      <c r="E30" s="7" t="s">
        <v>35</v>
      </c>
      <c r="F30" s="5">
        <v>0</v>
      </c>
      <c r="G30" s="5">
        <v>1</v>
      </c>
      <c r="H30" s="5"/>
      <c r="I30">
        <f t="shared" si="0"/>
        <v>2</v>
      </c>
    </row>
    <row r="31" spans="1:9" x14ac:dyDescent="0.25">
      <c r="A31" s="10">
        <f t="shared" si="1"/>
        <v>44334</v>
      </c>
      <c r="B31" s="7" t="s">
        <v>34</v>
      </c>
      <c r="C31" s="5">
        <v>1</v>
      </c>
      <c r="D31" s="5">
        <v>0</v>
      </c>
      <c r="E31" s="7" t="s">
        <v>35</v>
      </c>
      <c r="F31" s="5">
        <v>0</v>
      </c>
      <c r="G31" s="5">
        <v>1</v>
      </c>
      <c r="H31" s="5"/>
      <c r="I31">
        <f t="shared" si="0"/>
        <v>3</v>
      </c>
    </row>
    <row r="32" spans="1:9" x14ac:dyDescent="0.25">
      <c r="A32" s="10">
        <f t="shared" si="1"/>
        <v>44335</v>
      </c>
      <c r="B32" s="7" t="s">
        <v>34</v>
      </c>
      <c r="C32" s="5">
        <v>1</v>
      </c>
      <c r="D32" s="5">
        <v>0</v>
      </c>
      <c r="E32" s="7" t="s">
        <v>35</v>
      </c>
      <c r="F32" s="5">
        <v>0</v>
      </c>
      <c r="G32" s="5">
        <v>1</v>
      </c>
      <c r="H32" s="5"/>
      <c r="I32">
        <f t="shared" si="0"/>
        <v>4</v>
      </c>
    </row>
    <row r="33" spans="1:9" x14ac:dyDescent="0.25">
      <c r="A33" s="10">
        <f t="shared" si="1"/>
        <v>44336</v>
      </c>
      <c r="B33" s="7" t="s">
        <v>34</v>
      </c>
      <c r="C33" s="5">
        <v>1</v>
      </c>
      <c r="D33" s="5">
        <v>0</v>
      </c>
      <c r="E33" s="7" t="s">
        <v>35</v>
      </c>
      <c r="F33" s="5">
        <v>0</v>
      </c>
      <c r="G33" s="5">
        <v>1</v>
      </c>
      <c r="H33" s="5"/>
      <c r="I33">
        <f t="shared" si="0"/>
        <v>5</v>
      </c>
    </row>
    <row r="34" spans="1:9" x14ac:dyDescent="0.25">
      <c r="A34" s="10">
        <f t="shared" si="1"/>
        <v>44337</v>
      </c>
      <c r="B34" s="7" t="s">
        <v>34</v>
      </c>
      <c r="C34" s="5"/>
      <c r="D34" s="5"/>
      <c r="E34" s="7" t="s">
        <v>35</v>
      </c>
      <c r="F34" s="5"/>
      <c r="G34" s="5"/>
      <c r="H34" s="5"/>
      <c r="I34">
        <f t="shared" si="0"/>
        <v>6</v>
      </c>
    </row>
    <row r="35" spans="1:9" x14ac:dyDescent="0.25">
      <c r="A35" s="10">
        <f t="shared" si="1"/>
        <v>44338</v>
      </c>
      <c r="B35" s="7" t="s">
        <v>34</v>
      </c>
      <c r="C35" s="5"/>
      <c r="D35" s="5"/>
      <c r="E35" s="7" t="s">
        <v>35</v>
      </c>
      <c r="F35" s="5"/>
      <c r="G35" s="5"/>
      <c r="H35" s="5"/>
      <c r="I35">
        <f t="shared" si="0"/>
        <v>7</v>
      </c>
    </row>
    <row r="36" spans="1:9" x14ac:dyDescent="0.25">
      <c r="A36" s="10">
        <f t="shared" si="1"/>
        <v>44339</v>
      </c>
      <c r="B36" s="7" t="s">
        <v>34</v>
      </c>
      <c r="C36" s="5">
        <v>1</v>
      </c>
      <c r="D36" s="5">
        <v>0</v>
      </c>
      <c r="E36" s="7" t="s">
        <v>35</v>
      </c>
      <c r="F36" s="5">
        <v>0</v>
      </c>
      <c r="G36" s="5">
        <v>1</v>
      </c>
      <c r="H36" s="5"/>
      <c r="I36">
        <f t="shared" si="0"/>
        <v>1</v>
      </c>
    </row>
    <row r="37" spans="1:9" x14ac:dyDescent="0.25">
      <c r="A37" s="10">
        <f t="shared" si="1"/>
        <v>44340</v>
      </c>
      <c r="B37" s="7" t="s">
        <v>34</v>
      </c>
      <c r="C37" s="5">
        <v>1</v>
      </c>
      <c r="D37" s="5">
        <v>0</v>
      </c>
      <c r="E37" s="7" t="s">
        <v>35</v>
      </c>
      <c r="F37" s="5">
        <v>0</v>
      </c>
      <c r="G37" s="5">
        <v>1</v>
      </c>
      <c r="H37" s="5"/>
      <c r="I37">
        <f t="shared" si="0"/>
        <v>2</v>
      </c>
    </row>
    <row r="38" spans="1:9" x14ac:dyDescent="0.25">
      <c r="A38" s="10">
        <f t="shared" si="1"/>
        <v>44341</v>
      </c>
      <c r="B38" s="7" t="s">
        <v>34</v>
      </c>
      <c r="C38" s="5">
        <v>1</v>
      </c>
      <c r="D38" s="5">
        <v>0</v>
      </c>
      <c r="E38" s="7" t="s">
        <v>35</v>
      </c>
      <c r="F38" s="5">
        <v>0</v>
      </c>
      <c r="G38" s="5">
        <v>1</v>
      </c>
      <c r="H38" s="5"/>
      <c r="I38">
        <f t="shared" si="0"/>
        <v>3</v>
      </c>
    </row>
    <row r="39" spans="1:9" x14ac:dyDescent="0.25">
      <c r="A39" s="10">
        <f t="shared" si="1"/>
        <v>44342</v>
      </c>
      <c r="B39" s="7" t="s">
        <v>34</v>
      </c>
      <c r="C39" s="5">
        <v>1</v>
      </c>
      <c r="D39" s="5">
        <v>0</v>
      </c>
      <c r="E39" s="7" t="s">
        <v>35</v>
      </c>
      <c r="F39" s="5">
        <v>0</v>
      </c>
      <c r="G39" s="5">
        <v>1</v>
      </c>
      <c r="H39" s="5"/>
      <c r="I39">
        <f t="shared" si="0"/>
        <v>4</v>
      </c>
    </row>
    <row r="40" spans="1:9" x14ac:dyDescent="0.25">
      <c r="A40" s="10">
        <f t="shared" si="1"/>
        <v>44343</v>
      </c>
      <c r="B40" s="7" t="s">
        <v>34</v>
      </c>
      <c r="C40" s="5">
        <v>1</v>
      </c>
      <c r="D40" s="5">
        <v>0</v>
      </c>
      <c r="E40" s="7" t="s">
        <v>35</v>
      </c>
      <c r="F40" s="5">
        <v>0</v>
      </c>
      <c r="G40" s="5">
        <v>1</v>
      </c>
      <c r="H40" s="5"/>
      <c r="I40">
        <f t="shared" si="0"/>
        <v>5</v>
      </c>
    </row>
    <row r="41" spans="1:9" x14ac:dyDescent="0.25">
      <c r="A41" s="10">
        <f t="shared" si="1"/>
        <v>44344</v>
      </c>
      <c r="B41" s="7" t="s">
        <v>34</v>
      </c>
      <c r="C41" s="5"/>
      <c r="D41" s="5"/>
      <c r="E41" s="7" t="s">
        <v>35</v>
      </c>
      <c r="F41" s="5"/>
      <c r="G41" s="5"/>
      <c r="H41" s="5"/>
      <c r="I41">
        <f t="shared" si="0"/>
        <v>6</v>
      </c>
    </row>
    <row r="42" spans="1:9" x14ac:dyDescent="0.25">
      <c r="A42" s="10">
        <f t="shared" si="1"/>
        <v>44345</v>
      </c>
      <c r="B42" s="7" t="s">
        <v>34</v>
      </c>
      <c r="C42" s="5"/>
      <c r="D42" s="5"/>
      <c r="E42" s="7" t="s">
        <v>35</v>
      </c>
      <c r="F42" s="5"/>
      <c r="G42" s="5"/>
      <c r="H42" s="5"/>
      <c r="I42">
        <f t="shared" si="0"/>
        <v>7</v>
      </c>
    </row>
    <row r="43" spans="1:9" x14ac:dyDescent="0.25">
      <c r="A43" s="10">
        <f t="shared" si="1"/>
        <v>44346</v>
      </c>
      <c r="B43" s="7" t="s">
        <v>34</v>
      </c>
      <c r="C43" s="5">
        <v>1</v>
      </c>
      <c r="D43" s="5">
        <v>0</v>
      </c>
      <c r="E43" s="7" t="s">
        <v>35</v>
      </c>
      <c r="F43" s="5">
        <v>0</v>
      </c>
      <c r="G43" s="5">
        <v>1</v>
      </c>
      <c r="H43" s="5"/>
      <c r="I43">
        <f t="shared" si="0"/>
        <v>1</v>
      </c>
    </row>
    <row r="44" spans="1:9" ht="15.75" thickBot="1" x14ac:dyDescent="0.3">
      <c r="A44" s="11">
        <f t="shared" si="1"/>
        <v>44347</v>
      </c>
      <c r="B44" s="7" t="s">
        <v>34</v>
      </c>
      <c r="C44" s="16">
        <v>1</v>
      </c>
      <c r="D44" s="16">
        <v>0</v>
      </c>
      <c r="E44" s="7" t="s">
        <v>35</v>
      </c>
      <c r="F44" s="16">
        <v>0</v>
      </c>
      <c r="G44" s="16">
        <v>1</v>
      </c>
      <c r="H44" s="5"/>
      <c r="I44">
        <f t="shared" si="0"/>
        <v>2</v>
      </c>
    </row>
    <row r="45" spans="1:9" x14ac:dyDescent="0.25">
      <c r="C45" s="17">
        <f>SUM(C14:C44)</f>
        <v>22</v>
      </c>
      <c r="D45" s="17">
        <f>SUM(D14:D44)</f>
        <v>0</v>
      </c>
      <c r="F45" s="17">
        <f>SUM(F14:F44)</f>
        <v>0</v>
      </c>
      <c r="G45" s="17">
        <f>SUM(G14:G44)</f>
        <v>22</v>
      </c>
    </row>
    <row r="48" spans="1:9" x14ac:dyDescent="0.25">
      <c r="A48" s="18" t="s">
        <v>33</v>
      </c>
      <c r="B48" s="12"/>
      <c r="C48" s="12"/>
      <c r="E48" s="21" t="s">
        <v>32</v>
      </c>
    </row>
    <row r="49" spans="1:8" x14ac:dyDescent="0.25">
      <c r="A49" s="19" t="s">
        <v>25</v>
      </c>
      <c r="B49" s="19" t="s">
        <v>26</v>
      </c>
      <c r="C49" s="19" t="s">
        <v>27</v>
      </c>
      <c r="E49" s="22" t="s">
        <v>31</v>
      </c>
      <c r="F49" s="23"/>
      <c r="G49" s="24"/>
      <c r="H49" s="25"/>
    </row>
    <row r="50" spans="1:8" x14ac:dyDescent="0.25">
      <c r="A50" s="19" t="s">
        <v>28</v>
      </c>
      <c r="B50" s="19" t="s">
        <v>29</v>
      </c>
      <c r="C50" s="19" t="s">
        <v>30</v>
      </c>
    </row>
    <row r="51" spans="1:8" x14ac:dyDescent="0.25">
      <c r="A51" s="20"/>
    </row>
  </sheetData>
  <mergeCells count="3">
    <mergeCell ref="B5:C5"/>
    <mergeCell ref="B6:C6"/>
    <mergeCell ref="B7:C7"/>
  </mergeCells>
  <phoneticPr fontId="3" type="noConversion"/>
  <conditionalFormatting sqref="A14:H44">
    <cfRule type="expression" dxfId="0" priority="1">
      <formula>OR( $I14 = 7, $I14= 6)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Drop Down 5">
              <controlPr defaultSize="0" autoLine="0" autoPict="0">
                <anchor mov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2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Drop Down 6">
              <controlPr defaultSize="0" autoLine="0" autoPict="0">
                <anchor mov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2</xdr:col>
                    <xdr:colOff>19050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12"/>
  <sheetViews>
    <sheetView workbookViewId="0">
      <selection activeCell="B1" sqref="B1"/>
    </sheetView>
  </sheetViews>
  <sheetFormatPr baseColWidth="10" defaultRowHeight="15" x14ac:dyDescent="0.25"/>
  <sheetData>
    <row r="1" spans="1:2" x14ac:dyDescent="0.25">
      <c r="A1" t="s">
        <v>3</v>
      </c>
      <c r="B1">
        <v>2019</v>
      </c>
    </row>
    <row r="2" spans="1:2" x14ac:dyDescent="0.25">
      <c r="A2" t="s">
        <v>4</v>
      </c>
      <c r="B2">
        <v>2020</v>
      </c>
    </row>
    <row r="3" spans="1:2" x14ac:dyDescent="0.25">
      <c r="A3" t="s">
        <v>5</v>
      </c>
      <c r="B3">
        <v>2021</v>
      </c>
    </row>
    <row r="4" spans="1:2" x14ac:dyDescent="0.25">
      <c r="A4" t="s">
        <v>6</v>
      </c>
      <c r="B4">
        <v>2022</v>
      </c>
    </row>
    <row r="5" spans="1:2" x14ac:dyDescent="0.25">
      <c r="A5" t="s">
        <v>7</v>
      </c>
      <c r="B5">
        <v>2023</v>
      </c>
    </row>
    <row r="6" spans="1:2" x14ac:dyDescent="0.25">
      <c r="A6" t="s">
        <v>8</v>
      </c>
      <c r="B6">
        <v>2024</v>
      </c>
    </row>
    <row r="7" spans="1:2" x14ac:dyDescent="0.25">
      <c r="A7" t="s">
        <v>9</v>
      </c>
      <c r="B7">
        <v>2025</v>
      </c>
    </row>
    <row r="8" spans="1:2" x14ac:dyDescent="0.25">
      <c r="A8" t="s">
        <v>10</v>
      </c>
      <c r="B8">
        <v>2026</v>
      </c>
    </row>
    <row r="9" spans="1:2" x14ac:dyDescent="0.25">
      <c r="A9" t="s">
        <v>13</v>
      </c>
      <c r="B9">
        <v>2027</v>
      </c>
    </row>
    <row r="10" spans="1:2" x14ac:dyDescent="0.25">
      <c r="A10" t="s">
        <v>11</v>
      </c>
      <c r="B10">
        <v>2028</v>
      </c>
    </row>
    <row r="11" spans="1:2" x14ac:dyDescent="0.25">
      <c r="A11" t="s">
        <v>12</v>
      </c>
      <c r="B11">
        <v>2029</v>
      </c>
    </row>
    <row r="12" spans="1:2" x14ac:dyDescent="0.25">
      <c r="A12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Karim</dc:creator>
  <cp:lastModifiedBy>USER</cp:lastModifiedBy>
  <dcterms:created xsi:type="dcterms:W3CDTF">2019-10-26T10:55:15Z</dcterms:created>
  <dcterms:modified xsi:type="dcterms:W3CDTF">2021-05-30T16:55:53Z</dcterms:modified>
</cp:coreProperties>
</file>